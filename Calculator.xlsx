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hamed Mahdy\Desktop\ملفات عمل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1" l="1"/>
  <c r="G17" i="1" s="1"/>
  <c r="G18" i="1" l="1"/>
  <c r="D15" i="1" s="1"/>
  <c r="H11" i="1" s="1"/>
  <c r="H13" i="1" s="1"/>
  <c r="D18" i="1"/>
</calcChain>
</file>

<file path=xl/sharedStrings.xml><?xml version="1.0" encoding="utf-8"?>
<sst xmlns="http://schemas.openxmlformats.org/spreadsheetml/2006/main" count="14" uniqueCount="14">
  <si>
    <t>سجل بيانات الوحدة باللون الاخضر</t>
  </si>
  <si>
    <t xml:space="preserve"> رقم العمارة</t>
  </si>
  <si>
    <t>رقم الشقة</t>
  </si>
  <si>
    <t>الدور</t>
  </si>
  <si>
    <t>unit price</t>
  </si>
  <si>
    <t>gross area (M2)</t>
  </si>
  <si>
    <t>price / m2</t>
  </si>
  <si>
    <t>payment plan</t>
  </si>
  <si>
    <t>No. installments</t>
  </si>
  <si>
    <t xml:space="preserve"> installments</t>
  </si>
  <si>
    <t>Discrimination</t>
  </si>
  <si>
    <t>Net unit price</t>
  </si>
  <si>
    <t>Down Payment</t>
  </si>
  <si>
    <t>Increase  down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</si>
</sst>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rial"/>
      <family val="2"/>
      <charset val="178"/>
      <scheme val="minor"/>
    </font>
    <font>
      <b/>
      <sz val="14"/>
      <color theme="0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2" borderId="5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3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3" fontId="3" fillId="3" borderId="9" xfId="0" applyNumberFormat="1" applyFont="1" applyFill="1" applyBorder="1" applyAlignment="1" applyProtection="1">
      <alignment horizontal="center"/>
    </xf>
    <xf numFmtId="3" fontId="3" fillId="3" borderId="5" xfId="0" applyNumberFormat="1" applyFont="1" applyFill="1" applyBorder="1" applyAlignment="1" applyProtection="1">
      <alignment horizontal="center"/>
      <protection locked="0"/>
    </xf>
    <xf numFmtId="3" fontId="3" fillId="7" borderId="9" xfId="0" applyNumberFormat="1" applyFont="1" applyFill="1" applyBorder="1" applyAlignment="1" applyProtection="1">
      <alignment horizontal="center"/>
      <protection locked="0"/>
    </xf>
    <xf numFmtId="3" fontId="3" fillId="6" borderId="9" xfId="0" applyNumberFormat="1" applyFont="1" applyFill="1" applyBorder="1" applyAlignment="1">
      <alignment horizontal="center"/>
    </xf>
    <xf numFmtId="0" fontId="3" fillId="7" borderId="9" xfId="0" applyFont="1" applyFill="1" applyBorder="1" applyAlignment="1" applyProtection="1">
      <alignment horizontal="center"/>
      <protection locked="0"/>
    </xf>
    <xf numFmtId="0" fontId="0" fillId="0" borderId="4" xfId="0" applyBorder="1"/>
    <xf numFmtId="0" fontId="3" fillId="0" borderId="6" xfId="0" applyFont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0" fontId="3" fillId="7" borderId="9" xfId="0" applyNumberFormat="1" applyFont="1" applyFill="1" applyBorder="1" applyAlignment="1" applyProtection="1">
      <alignment horizontal="center"/>
      <protection locked="0"/>
    </xf>
    <xf numFmtId="0" fontId="3" fillId="3" borderId="6" xfId="0" applyFont="1" applyFill="1" applyBorder="1" applyAlignment="1">
      <alignment horizontal="center"/>
    </xf>
    <xf numFmtId="0" fontId="0" fillId="3" borderId="12" xfId="0" applyFill="1" applyBorder="1"/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9" fontId="3" fillId="7" borderId="9" xfId="0" applyNumberFormat="1" applyFont="1" applyFill="1" applyBorder="1" applyAlignment="1" applyProtection="1">
      <alignment horizontal="center"/>
      <protection locked="0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5" borderId="6" xfId="0" applyFont="1" applyFill="1" applyBorder="1" applyAlignment="1" applyProtection="1">
      <alignment horizontal="center"/>
      <protection locked="0"/>
    </xf>
    <xf numFmtId="0" fontId="2" fillId="5" borderId="7" xfId="0" applyFont="1" applyFill="1" applyBorder="1" applyAlignment="1" applyProtection="1">
      <alignment horizontal="center"/>
      <protection locked="0"/>
    </xf>
    <xf numFmtId="0" fontId="2" fillId="5" borderId="8" xfId="0" applyFont="1" applyFill="1" applyBorder="1" applyAlignment="1" applyProtection="1">
      <alignment horizontal="center"/>
      <protection locked="0"/>
    </xf>
    <xf numFmtId="0" fontId="3" fillId="6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571500</xdr:colOff>
      <xdr:row>15</xdr:row>
      <xdr:rowOff>121920</xdr:rowOff>
    </xdr:from>
    <xdr:to>
      <xdr:col>8</xdr:col>
      <xdr:colOff>594068</xdr:colOff>
      <xdr:row>18</xdr:row>
      <xdr:rowOff>71701</xdr:rowOff>
    </xdr:to>
    <xdr:pic>
      <xdr:nvPicPr>
        <xdr:cNvPr id="2" name="Picture 1" descr="Screen Clippi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6420" y="3154680"/>
          <a:ext cx="1096988" cy="567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0"/>
  <sheetViews>
    <sheetView tabSelected="1" workbookViewId="0">
      <selection activeCell="E11" sqref="E11:E12"/>
    </sheetView>
  </sheetViews>
  <sheetFormatPr defaultRowHeight="13.8" x14ac:dyDescent="0.25"/>
  <cols>
    <col min="4" max="4" width="17.296875" customWidth="1"/>
    <col min="5" max="5" width="29.3984375" customWidth="1"/>
    <col min="6" max="6" width="15.5" customWidth="1"/>
    <col min="7" max="7" width="28" customWidth="1"/>
    <col min="8" max="8" width="14.09765625" customWidth="1"/>
  </cols>
  <sheetData>
    <row r="2" spans="2:10" ht="14.4" thickBot="1" x14ac:dyDescent="0.3"/>
    <row r="3" spans="2:10" ht="14.4" thickBot="1" x14ac:dyDescent="0.3">
      <c r="B3" s="1"/>
      <c r="C3" s="2"/>
      <c r="D3" s="2"/>
      <c r="E3" s="2"/>
      <c r="F3" s="2"/>
      <c r="G3" s="2"/>
      <c r="H3" s="2"/>
      <c r="I3" s="2"/>
      <c r="J3" s="3"/>
    </row>
    <row r="4" spans="2:10" ht="14.4" thickBot="1" x14ac:dyDescent="0.3">
      <c r="B4" s="4"/>
      <c r="C4" s="5"/>
      <c r="D4" s="6"/>
      <c r="E4" s="6"/>
      <c r="F4" s="6"/>
      <c r="G4" s="6"/>
      <c r="H4" s="6"/>
      <c r="I4" s="7"/>
      <c r="J4" s="8"/>
    </row>
    <row r="5" spans="2:10" ht="18" thickBot="1" x14ac:dyDescent="0.35">
      <c r="B5" s="4"/>
      <c r="C5" s="9"/>
      <c r="D5" s="10"/>
      <c r="E5" s="34" t="s">
        <v>0</v>
      </c>
      <c r="F5" s="35"/>
      <c r="G5" s="36"/>
      <c r="H5" s="10"/>
      <c r="I5" s="11"/>
      <c r="J5" s="8"/>
    </row>
    <row r="6" spans="2:10" ht="14.4" thickBot="1" x14ac:dyDescent="0.3">
      <c r="B6" s="4"/>
      <c r="C6" s="9"/>
      <c r="D6" s="10"/>
      <c r="E6" s="10"/>
      <c r="F6" s="10"/>
      <c r="G6" s="10"/>
      <c r="H6" s="10"/>
      <c r="I6" s="11"/>
      <c r="J6" s="8"/>
    </row>
    <row r="7" spans="2:10" ht="16.2" thickBot="1" x14ac:dyDescent="0.35">
      <c r="B7" s="4"/>
      <c r="C7" s="9"/>
      <c r="D7" s="37"/>
      <c r="E7" s="38"/>
      <c r="F7" s="39"/>
      <c r="G7" s="40" t="s">
        <v>1</v>
      </c>
      <c r="H7" s="40"/>
      <c r="I7" s="12"/>
      <c r="J7" s="8"/>
    </row>
    <row r="8" spans="2:10" ht="16.2" thickBot="1" x14ac:dyDescent="0.35">
      <c r="B8" s="4"/>
      <c r="C8" s="9"/>
      <c r="D8" s="37"/>
      <c r="E8" s="38"/>
      <c r="F8" s="39"/>
      <c r="G8" s="40" t="s">
        <v>2</v>
      </c>
      <c r="H8" s="40"/>
      <c r="I8" s="12"/>
      <c r="J8" s="8"/>
    </row>
    <row r="9" spans="2:10" ht="16.2" thickBot="1" x14ac:dyDescent="0.35">
      <c r="B9" s="4"/>
      <c r="C9" s="9"/>
      <c r="D9" s="37"/>
      <c r="E9" s="38"/>
      <c r="F9" s="39"/>
      <c r="G9" s="40" t="s">
        <v>3</v>
      </c>
      <c r="H9" s="40"/>
      <c r="I9" s="12"/>
      <c r="J9" s="8"/>
    </row>
    <row r="10" spans="2:10" ht="14.4" thickBot="1" x14ac:dyDescent="0.3">
      <c r="B10" s="4"/>
      <c r="C10" s="9"/>
      <c r="D10" s="10"/>
      <c r="E10" s="10"/>
      <c r="F10" s="10"/>
      <c r="G10" s="10"/>
      <c r="H10" s="10"/>
      <c r="I10" s="11"/>
      <c r="J10" s="8"/>
    </row>
    <row r="11" spans="2:10" ht="18" thickBot="1" x14ac:dyDescent="0.35">
      <c r="B11" s="4"/>
      <c r="C11" s="9"/>
      <c r="D11" s="32" t="s">
        <v>4</v>
      </c>
      <c r="E11" s="32" t="s">
        <v>5</v>
      </c>
      <c r="F11" s="32" t="s">
        <v>6</v>
      </c>
      <c r="G11" s="13" t="s">
        <v>7</v>
      </c>
      <c r="H11" s="14">
        <f>D15-D17</f>
        <v>1349760</v>
      </c>
      <c r="I11" s="15"/>
      <c r="J11" s="8"/>
    </row>
    <row r="12" spans="2:10" ht="18" thickBot="1" x14ac:dyDescent="0.35">
      <c r="B12" s="4"/>
      <c r="C12" s="9"/>
      <c r="D12" s="33"/>
      <c r="E12" s="33"/>
      <c r="F12" s="33"/>
      <c r="G12" s="13" t="s">
        <v>8</v>
      </c>
      <c r="H12" s="16">
        <v>12</v>
      </c>
      <c r="I12" s="15"/>
      <c r="J12" s="8"/>
    </row>
    <row r="13" spans="2:10" ht="18" thickBot="1" x14ac:dyDescent="0.35">
      <c r="B13" s="4"/>
      <c r="C13" s="9"/>
      <c r="D13" s="17">
        <f>SUM((E13)*(F13+(F14)*(F13)))</f>
        <v>3552000</v>
      </c>
      <c r="E13" s="18">
        <v>185</v>
      </c>
      <c r="F13" s="16">
        <v>19200</v>
      </c>
      <c r="G13" s="13" t="s">
        <v>9</v>
      </c>
      <c r="H13" s="14">
        <f>H11/H12</f>
        <v>112480</v>
      </c>
      <c r="I13" s="15"/>
      <c r="J13" s="8"/>
    </row>
    <row r="14" spans="2:10" ht="16.2" thickBot="1" x14ac:dyDescent="0.35">
      <c r="B14" s="4"/>
      <c r="C14" s="9"/>
      <c r="D14" s="19"/>
      <c r="E14" s="20" t="s">
        <v>10</v>
      </c>
      <c r="F14" s="31">
        <v>0</v>
      </c>
      <c r="G14" s="21"/>
      <c r="H14" s="21"/>
      <c r="I14" s="11"/>
      <c r="J14" s="8"/>
    </row>
    <row r="15" spans="2:10" ht="16.2" thickBot="1" x14ac:dyDescent="0.35">
      <c r="B15" s="4"/>
      <c r="C15" s="9"/>
      <c r="D15" s="17">
        <f>D13-G18</f>
        <v>3125760</v>
      </c>
      <c r="E15" s="22" t="s">
        <v>11</v>
      </c>
      <c r="F15" s="21"/>
      <c r="G15" s="21"/>
      <c r="H15" s="21"/>
      <c r="I15" s="11"/>
      <c r="J15" s="8"/>
    </row>
    <row r="16" spans="2:10" ht="16.2" thickBot="1" x14ac:dyDescent="0.35">
      <c r="B16" s="4"/>
      <c r="C16" s="9"/>
      <c r="D16" s="21"/>
      <c r="E16" s="21"/>
      <c r="F16" s="21"/>
      <c r="G16" s="21"/>
      <c r="H16" s="21"/>
      <c r="I16" s="11"/>
      <c r="J16" s="8"/>
    </row>
    <row r="17" spans="2:10" ht="16.2" thickBot="1" x14ac:dyDescent="0.35">
      <c r="B17" s="4"/>
      <c r="C17" s="9"/>
      <c r="D17" s="16">
        <v>1776000</v>
      </c>
      <c r="E17" s="22" t="s">
        <v>12</v>
      </c>
      <c r="F17" s="23">
        <v>0.1</v>
      </c>
      <c r="G17" s="17">
        <f>F17*D13</f>
        <v>355200</v>
      </c>
      <c r="H17" s="21"/>
      <c r="I17" s="11"/>
      <c r="J17" s="8"/>
    </row>
    <row r="18" spans="2:10" ht="16.2" thickBot="1" x14ac:dyDescent="0.35">
      <c r="B18" s="4"/>
      <c r="C18" s="9"/>
      <c r="D18" s="17">
        <f>D17-G17</f>
        <v>1420800</v>
      </c>
      <c r="E18" s="24" t="s">
        <v>13</v>
      </c>
      <c r="F18" s="23">
        <v>0.3</v>
      </c>
      <c r="G18" s="17">
        <f>SUM((D17-G17)*F18)</f>
        <v>426240</v>
      </c>
      <c r="H18" s="21"/>
      <c r="I18" s="11"/>
      <c r="J18" s="8"/>
    </row>
    <row r="19" spans="2:10" ht="16.2" thickBot="1" x14ac:dyDescent="0.35">
      <c r="B19" s="4"/>
      <c r="C19" s="25"/>
      <c r="D19" s="26"/>
      <c r="E19" s="26"/>
      <c r="F19" s="26"/>
      <c r="G19" s="26"/>
      <c r="H19" s="26"/>
      <c r="I19" s="27"/>
      <c r="J19" s="8"/>
    </row>
    <row r="20" spans="2:10" ht="14.4" thickBot="1" x14ac:dyDescent="0.3">
      <c r="B20" s="28"/>
      <c r="C20" s="29"/>
      <c r="D20" s="29"/>
      <c r="E20" s="29"/>
      <c r="F20" s="29"/>
      <c r="G20" s="29"/>
      <c r="H20" s="29"/>
      <c r="I20" s="29"/>
      <c r="J20" s="30"/>
    </row>
  </sheetData>
  <sheetProtection algorithmName="SHA-512" hashValue="yUbQc58jgX9o52RwW6b5xLu3R8K3jo0nKDI9d2uLLnuLx8Xjb9ZbbzvePLAPdc4JvVK4VZd3aM1rJZPoID6pFQ==" saltValue="kQv+U+yeDsjAESiQkr/dug==" spinCount="100000" sheet="1" objects="1" scenarios="1"/>
  <mergeCells count="10">
    <mergeCell ref="D11:D12"/>
    <mergeCell ref="E11:E12"/>
    <mergeCell ref="F11:F12"/>
    <mergeCell ref="E5:G5"/>
    <mergeCell ref="D7:F7"/>
    <mergeCell ref="G7:H7"/>
    <mergeCell ref="D8:F8"/>
    <mergeCell ref="G8:H8"/>
    <mergeCell ref="D9:F9"/>
    <mergeCell ref="G9:H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Mahdy</dc:creator>
  <cp:lastModifiedBy>Mohamed Mahdy</cp:lastModifiedBy>
  <dcterms:created xsi:type="dcterms:W3CDTF">2026-08-13T09:43:45Z</dcterms:created>
  <dcterms:modified xsi:type="dcterms:W3CDTF">2026-08-17T17:42:13Z</dcterms:modified>
</cp:coreProperties>
</file>